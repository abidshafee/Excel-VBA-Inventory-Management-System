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pplication Development Projects\"/>
    </mc:Choice>
  </mc:AlternateContent>
  <xr:revisionPtr revIDLastSave="0" documentId="13_ncr:1_{96957057-DCDD-4B2C-A95D-D2DA010B6096}" xr6:coauthVersionLast="47" xr6:coauthVersionMax="47" xr10:uidLastSave="{00000000-0000-0000-0000-000000000000}"/>
  <bookViews>
    <workbookView xWindow="-120" yWindow="-120" windowWidth="20730" windowHeight="11310" activeTab="3" xr2:uid="{F483435F-2F73-437F-93E1-696AB25A407F}"/>
  </bookViews>
  <sheets>
    <sheet name="All_Products" sheetId="4" r:id="rId1"/>
    <sheet name="SellPurchase" sheetId="3" r:id="rId2"/>
    <sheet name="SellPurchase_Display" sheetId="5" r:id="rId3"/>
    <sheet name="AvailableStocks" sheetId="6" r:id="rId4"/>
    <sheet name="AvailableStocks_Display" sheetId="7" r:id="rId5"/>
  </sheets>
  <definedNames>
    <definedName name="_xlnm._FilterDatabase" localSheetId="1" hidden="1">SellPurchase!$A$1:$I$14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2" i="6"/>
  <c r="C3" i="6"/>
  <c r="D3" i="6"/>
  <c r="C4" i="6"/>
  <c r="D4" i="6"/>
  <c r="C5" i="6"/>
  <c r="D5" i="6"/>
  <c r="C6" i="6"/>
  <c r="D6" i="6"/>
  <c r="D2" i="6"/>
  <c r="C2" i="6"/>
  <c r="E3" i="6" l="1"/>
  <c r="E5" i="6"/>
  <c r="E2" i="6"/>
  <c r="E6" i="6"/>
  <c r="E4" i="6"/>
</calcChain>
</file>

<file path=xl/sharedStrings.xml><?xml version="1.0" encoding="utf-8"?>
<sst xmlns="http://schemas.openxmlformats.org/spreadsheetml/2006/main" count="136" uniqueCount="27">
  <si>
    <t>Product Name</t>
  </si>
  <si>
    <t>Sale Price</t>
  </si>
  <si>
    <t>Purchase Price</t>
  </si>
  <si>
    <t>SL. No</t>
  </si>
  <si>
    <t>Product Model</t>
  </si>
  <si>
    <t>Qty</t>
  </si>
  <si>
    <t>Profit</t>
  </si>
  <si>
    <t>Mobile</t>
  </si>
  <si>
    <t>Sale</t>
  </si>
  <si>
    <t>Purchase</t>
  </si>
  <si>
    <t>N/A</t>
  </si>
  <si>
    <t>Date</t>
  </si>
  <si>
    <t>15-06-2021</t>
  </si>
  <si>
    <t>Dell Lapetop</t>
  </si>
  <si>
    <t>V4810</t>
  </si>
  <si>
    <t>6310N</t>
  </si>
  <si>
    <t>5220W</t>
  </si>
  <si>
    <t>5220s</t>
  </si>
  <si>
    <t>5220J</t>
  </si>
  <si>
    <t>Unit Price</t>
  </si>
  <si>
    <t>Transaction SL. No</t>
  </si>
  <si>
    <t>Model</t>
  </si>
  <si>
    <t>Trans. Type</t>
  </si>
  <si>
    <t>16-06-2021</t>
  </si>
  <si>
    <t>Available Stocks</t>
  </si>
  <si>
    <t>Trans. Amt.</t>
  </si>
  <si>
    <t>Stock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</si>
</sst>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[$BDT]\ * #,##0.00_);_([$BDT]\ * \(#,##0.00\);_([$BDT]\ * &quot;-&quot;??_);_(@_)"/>
    <numFmt numFmtId="165" formatCode="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165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0393-1F8E-4375-8DA4-FBA96558EBF0}">
  <sheetPr codeName="Sheet2"/>
  <dimension ref="A1:E6"/>
  <sheetViews>
    <sheetView workbookViewId="0">
      <selection activeCell="D7" sqref="D7"/>
    </sheetView>
  </sheetViews>
  <sheetFormatPr defaultRowHeight="15" x14ac:dyDescent="0.25"/>
  <cols>
    <col min="1" max="1" width="6.42578125" bestFit="1" customWidth="1"/>
    <col min="2" max="2" width="13.7109375" bestFit="1" customWidth="1"/>
    <col min="3" max="3" width="14.140625" style="4" bestFit="1" customWidth="1"/>
  </cols>
  <sheetData>
    <row r="1" spans="1:5" x14ac:dyDescent="0.25">
      <c r="A1" t="s">
        <v>3</v>
      </c>
      <c r="B1" t="s">
        <v>0</v>
      </c>
      <c r="C1" s="4" t="s">
        <v>4</v>
      </c>
      <c r="D1" t="s">
        <v>2</v>
      </c>
      <c r="E1" t="s">
        <v>1</v>
      </c>
    </row>
    <row r="2" spans="1:5" x14ac:dyDescent="0.25">
      <c r="A2">
        <v>1</v>
      </c>
      <c r="B2" t="s">
        <v>7</v>
      </c>
      <c r="C2" s="4" t="s">
        <v>15</v>
      </c>
      <c r="D2">
        <v>421</v>
      </c>
      <c r="E2">
        <v>540</v>
      </c>
    </row>
    <row r="3" spans="1:5" x14ac:dyDescent="0.25">
      <c r="A3">
        <v>2</v>
      </c>
      <c r="B3" t="s">
        <v>7</v>
      </c>
      <c r="C3" s="4" t="s">
        <v>18</v>
      </c>
      <c r="D3">
        <v>349</v>
      </c>
      <c r="E3">
        <v>400</v>
      </c>
    </row>
    <row r="4" spans="1:5" x14ac:dyDescent="0.25">
      <c r="A4">
        <v>3</v>
      </c>
      <c r="B4" t="s">
        <v>13</v>
      </c>
      <c r="C4" s="4" t="s">
        <v>14</v>
      </c>
      <c r="D4">
        <v>44055</v>
      </c>
      <c r="E4">
        <v>51000</v>
      </c>
    </row>
    <row r="5" spans="1:5" x14ac:dyDescent="0.25">
      <c r="A5">
        <v>4</v>
      </c>
      <c r="B5" t="s">
        <v>7</v>
      </c>
      <c r="C5" s="4" t="s">
        <v>16</v>
      </c>
      <c r="D5">
        <v>320</v>
      </c>
      <c r="E5">
        <v>400</v>
      </c>
    </row>
    <row r="6" spans="1:5" x14ac:dyDescent="0.25">
      <c r="A6">
        <v>5</v>
      </c>
      <c r="B6" t="s">
        <v>7</v>
      </c>
      <c r="C6" s="4" t="s">
        <v>17</v>
      </c>
      <c r="D6">
        <v>645</v>
      </c>
      <c r="E6">
        <v>700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81180-734C-4782-BA2D-A5D85DED17D9}">
  <sheetPr codeName="Sheet3"/>
  <dimension ref="A1:I14"/>
  <sheetViews>
    <sheetView zoomScale="90" zoomScaleNormal="90" workbookViewId="0">
      <selection activeCell="C13" sqref="C13"/>
    </sheetView>
  </sheetViews>
  <sheetFormatPr defaultRowHeight="15" x14ac:dyDescent="0.25"/>
  <cols>
    <col min="1" max="1" width="17.28515625" bestFit="1" customWidth="1"/>
    <col min="2" max="2" width="13.7109375" bestFit="1" customWidth="1"/>
    <col min="3" max="3" width="14.28515625" style="4" bestFit="1" customWidth="1"/>
    <col min="4" max="4" width="16" bestFit="1" customWidth="1"/>
    <col min="5" max="5" width="6.85546875" bestFit="1" customWidth="1"/>
    <col min="6" max="6" width="9.7109375" bestFit="1" customWidth="1"/>
    <col min="7" max="7" width="19" style="3" bestFit="1" customWidth="1"/>
    <col min="8" max="8" width="16.140625" style="3" bestFit="1" customWidth="1"/>
    <col min="9" max="9" width="11.28515625" style="7" bestFit="1" customWidth="1"/>
  </cols>
  <sheetData>
    <row r="1" spans="1:9" s="1" customFormat="1" x14ac:dyDescent="0.25">
      <c r="A1" s="1" t="s">
        <v>20</v>
      </c>
      <c r="B1" s="1" t="s">
        <v>0</v>
      </c>
      <c r="C1" s="5" t="s">
        <v>21</v>
      </c>
      <c r="D1" s="1" t="s">
        <v>22</v>
      </c>
      <c r="E1" s="1" t="s">
        <v>5</v>
      </c>
      <c r="F1" s="1" t="s">
        <v>19</v>
      </c>
      <c r="G1" s="2" t="s">
        <v>25</v>
      </c>
      <c r="H1" s="2" t="s">
        <v>6</v>
      </c>
      <c r="I1" s="6" t="s">
        <v>11</v>
      </c>
    </row>
    <row r="2" spans="1:9" x14ac:dyDescent="0.25">
      <c r="A2">
        <v>8</v>
      </c>
      <c r="B2" t="s">
        <v>13</v>
      </c>
      <c r="C2" s="4" t="s">
        <v>14</v>
      </c>
      <c r="D2" t="s">
        <v>9</v>
      </c>
      <c r="E2">
        <v>10</v>
      </c>
      <c r="F2">
        <v>44000</v>
      </c>
      <c r="G2" s="3">
        <v>440000</v>
      </c>
      <c r="H2" s="3" t="s">
        <v>10</v>
      </c>
      <c r="I2" s="7" t="s">
        <v>12</v>
      </c>
    </row>
    <row r="3" spans="1:9" x14ac:dyDescent="0.25">
      <c r="A3">
        <v>10</v>
      </c>
      <c r="B3" t="s">
        <v>7</v>
      </c>
      <c r="C3" s="4" t="s">
        <v>16</v>
      </c>
      <c r="D3" t="s">
        <v>8</v>
      </c>
      <c r="E3">
        <v>17</v>
      </c>
      <c r="F3">
        <v>400</v>
      </c>
      <c r="G3" s="3">
        <v>6800</v>
      </c>
      <c r="H3" s="3">
        <v>1360</v>
      </c>
      <c r="I3" s="7" t="s">
        <v>12</v>
      </c>
    </row>
    <row r="4" spans="1:9" x14ac:dyDescent="0.25">
      <c r="A4">
        <v>11</v>
      </c>
      <c r="B4" t="s">
        <v>7</v>
      </c>
      <c r="C4" s="4" t="s">
        <v>15</v>
      </c>
      <c r="D4" t="s">
        <v>8</v>
      </c>
      <c r="E4">
        <v>10</v>
      </c>
      <c r="F4">
        <v>540</v>
      </c>
      <c r="G4" s="3">
        <v>5400</v>
      </c>
      <c r="H4" s="3">
        <v>1190</v>
      </c>
      <c r="I4" s="7" t="s">
        <v>12</v>
      </c>
    </row>
    <row r="5" spans="1:9" x14ac:dyDescent="0.25">
      <c r="A5">
        <v>12</v>
      </c>
      <c r="B5" t="s">
        <v>7</v>
      </c>
      <c r="C5" s="4" t="s">
        <v>17</v>
      </c>
      <c r="D5" t="s">
        <v>9</v>
      </c>
      <c r="E5">
        <v>1</v>
      </c>
      <c r="F5">
        <v>645</v>
      </c>
      <c r="G5" s="3">
        <v>645</v>
      </c>
      <c r="H5" s="3" t="s">
        <v>10</v>
      </c>
      <c r="I5" s="7" t="s">
        <v>12</v>
      </c>
    </row>
    <row r="6" spans="1:9" x14ac:dyDescent="0.25">
      <c r="A6">
        <v>13</v>
      </c>
      <c r="B6" t="s">
        <v>7</v>
      </c>
      <c r="C6" s="4" t="s">
        <v>17</v>
      </c>
      <c r="D6" t="s">
        <v>9</v>
      </c>
      <c r="E6">
        <v>9</v>
      </c>
      <c r="F6">
        <v>645</v>
      </c>
      <c r="G6" s="3">
        <v>5805</v>
      </c>
      <c r="H6" s="3" t="s">
        <v>10</v>
      </c>
      <c r="I6" s="7" t="s">
        <v>12</v>
      </c>
    </row>
    <row r="7" spans="1:9" x14ac:dyDescent="0.25">
      <c r="A7">
        <v>14</v>
      </c>
      <c r="B7" t="s">
        <v>13</v>
      </c>
      <c r="C7" s="4" t="s">
        <v>14</v>
      </c>
      <c r="D7" t="s">
        <v>8</v>
      </c>
      <c r="E7">
        <v>10</v>
      </c>
      <c r="F7">
        <v>55000</v>
      </c>
      <c r="G7" s="3">
        <v>550000</v>
      </c>
      <c r="H7" s="3">
        <v>110000</v>
      </c>
      <c r="I7" s="7" t="s">
        <v>12</v>
      </c>
    </row>
    <row r="8" spans="1:9" x14ac:dyDescent="0.25">
      <c r="A8">
        <v>14</v>
      </c>
      <c r="B8" t="s">
        <v>13</v>
      </c>
      <c r="C8" s="4" t="s">
        <v>14</v>
      </c>
      <c r="D8" t="s">
        <v>8</v>
      </c>
      <c r="E8">
        <v>1</v>
      </c>
      <c r="F8">
        <v>55000</v>
      </c>
      <c r="G8" s="3">
        <v>55000</v>
      </c>
      <c r="H8" s="3">
        <v>11000</v>
      </c>
      <c r="I8" s="7" t="s">
        <v>12</v>
      </c>
    </row>
    <row r="9" spans="1:9" x14ac:dyDescent="0.25">
      <c r="A9">
        <v>16</v>
      </c>
      <c r="B9" t="s">
        <v>13</v>
      </c>
      <c r="C9" s="4" t="s">
        <v>14</v>
      </c>
      <c r="D9" t="s">
        <v>8</v>
      </c>
      <c r="E9">
        <v>3</v>
      </c>
      <c r="F9">
        <v>55000</v>
      </c>
      <c r="G9" s="3">
        <v>165000</v>
      </c>
      <c r="H9" s="3">
        <v>33000</v>
      </c>
      <c r="I9" s="7" t="s">
        <v>23</v>
      </c>
    </row>
    <row r="10" spans="1:9" x14ac:dyDescent="0.25">
      <c r="A10">
        <v>17</v>
      </c>
      <c r="B10" t="s">
        <v>13</v>
      </c>
      <c r="C10" s="4" t="s">
        <v>14</v>
      </c>
      <c r="D10" t="s">
        <v>8</v>
      </c>
      <c r="E10">
        <v>1</v>
      </c>
      <c r="F10">
        <v>55000</v>
      </c>
      <c r="G10" s="3">
        <v>55000</v>
      </c>
      <c r="H10" s="3">
        <v>11000</v>
      </c>
      <c r="I10" s="7" t="s">
        <v>23</v>
      </c>
    </row>
    <row r="11" spans="1:9" x14ac:dyDescent="0.25">
      <c r="A11">
        <v>18</v>
      </c>
      <c r="B11" t="s">
        <v>13</v>
      </c>
      <c r="C11" s="4" t="s">
        <v>14</v>
      </c>
      <c r="D11" t="s">
        <v>9</v>
      </c>
      <c r="E11">
        <v>5</v>
      </c>
      <c r="F11">
        <v>44000</v>
      </c>
      <c r="G11" s="3">
        <v>220000</v>
      </c>
      <c r="H11" s="3" t="s">
        <v>10</v>
      </c>
      <c r="I11" s="7" t="s">
        <v>23</v>
      </c>
    </row>
    <row r="12" spans="1:9" x14ac:dyDescent="0.25">
      <c r="A12">
        <v>12</v>
      </c>
      <c r="B12" t="s">
        <v>13</v>
      </c>
      <c r="C12" s="4" t="s">
        <v>14</v>
      </c>
      <c r="D12" t="s">
        <v>9</v>
      </c>
      <c r="E12">
        <v>8</v>
      </c>
      <c r="F12">
        <v>44055</v>
      </c>
      <c r="G12" s="3">
        <v>352440</v>
      </c>
      <c r="H12" s="3" t="s">
        <v>10</v>
      </c>
      <c r="I12" s="7" t="s">
        <v>23</v>
      </c>
    </row>
    <row r="13" spans="1:9" x14ac:dyDescent="0.25">
      <c r="A13">
        <v>12</v>
      </c>
      <c r="B13" t="s">
        <v>7</v>
      </c>
      <c r="C13" s="4" t="s">
        <v>15</v>
      </c>
      <c r="D13" t="s">
        <v>9</v>
      </c>
      <c r="E13">
        <v>30</v>
      </c>
      <c r="F13">
        <v>421</v>
      </c>
      <c r="G13" s="3">
        <v>12630</v>
      </c>
      <c r="H13" s="3" t="s">
        <v>10</v>
      </c>
      <c r="I13" s="7" t="s">
        <v>23</v>
      </c>
    </row>
    <row r="14" spans="1:9" x14ac:dyDescent="0.25">
      <c r="A14">
        <v>13</v>
      </c>
      <c r="B14" t="s">
        <v>7</v>
      </c>
      <c r="C14" s="4" t="s">
        <v>16</v>
      </c>
      <c r="D14" t="s">
        <v>9</v>
      </c>
      <c r="E14">
        <v>50</v>
      </c>
      <c r="F14">
        <v>320</v>
      </c>
      <c r="G14" s="3">
        <v>16000</v>
      </c>
      <c r="H14" s="3" t="s">
        <v>10</v>
      </c>
      <c r="I14" s="7" t="s">
        <v>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3862-5B85-4900-9300-03B8AEE096FD}">
  <sheetPr codeName="Sheet4"/>
  <dimension ref="A1:I7"/>
  <sheetViews>
    <sheetView workbookViewId="0">
      <selection sqref="A1:I7"/>
    </sheetView>
  </sheetViews>
  <sheetFormatPr defaultRowHeight="15" x14ac:dyDescent="0.25"/>
  <cols>
    <col min="8" max="8" width="15.5703125" bestFit="1" customWidth="1"/>
  </cols>
  <sheetData>
    <row r="1" spans="1:9" x14ac:dyDescent="0.25">
      <c r="A1" t="s">
        <v>20</v>
      </c>
      <c r="B1" t="s">
        <v>0</v>
      </c>
      <c r="C1" s="4" t="s">
        <v>21</v>
      </c>
      <c r="D1" t="s">
        <v>22</v>
      </c>
      <c r="E1" t="s">
        <v>5</v>
      </c>
      <c r="F1" t="s">
        <v>19</v>
      </c>
      <c r="G1" s="3" t="s">
        <v>25</v>
      </c>
      <c r="H1" s="3" t="s">
        <v>6</v>
      </c>
      <c r="I1" s="7" t="s">
        <v>11</v>
      </c>
    </row>
    <row r="2" spans="1:9" x14ac:dyDescent="0.25">
      <c r="A2">
        <v>16</v>
      </c>
      <c r="B2" t="s">
        <v>13</v>
      </c>
      <c r="C2" s="4" t="s">
        <v>14</v>
      </c>
      <c r="D2" t="s">
        <v>8</v>
      </c>
      <c r="E2">
        <v>3</v>
      </c>
      <c r="F2">
        <v>55000</v>
      </c>
      <c r="G2" s="3">
        <v>165000</v>
      </c>
      <c r="H2" s="3">
        <v>33000</v>
      </c>
      <c r="I2" s="7" t="s">
        <v>23</v>
      </c>
    </row>
    <row r="3" spans="1:9" x14ac:dyDescent="0.25">
      <c r="A3">
        <v>17</v>
      </c>
      <c r="B3" t="s">
        <v>13</v>
      </c>
      <c r="C3" s="4" t="s">
        <v>14</v>
      </c>
      <c r="D3" t="s">
        <v>8</v>
      </c>
      <c r="E3">
        <v>1</v>
      </c>
      <c r="F3">
        <v>55000</v>
      </c>
      <c r="G3" s="3">
        <v>55000</v>
      </c>
      <c r="H3" s="3">
        <v>11000</v>
      </c>
      <c r="I3" s="7" t="s">
        <v>23</v>
      </c>
    </row>
    <row r="4" spans="1:9" x14ac:dyDescent="0.25">
      <c r="A4">
        <v>18</v>
      </c>
      <c r="B4" t="s">
        <v>13</v>
      </c>
      <c r="C4" s="4" t="s">
        <v>14</v>
      </c>
      <c r="D4" t="s">
        <v>9</v>
      </c>
      <c r="E4">
        <v>5</v>
      </c>
      <c r="F4">
        <v>44000</v>
      </c>
      <c r="G4" s="3">
        <v>220000</v>
      </c>
      <c r="H4" s="3" t="s">
        <v>10</v>
      </c>
      <c r="I4" s="7" t="s">
        <v>23</v>
      </c>
    </row>
    <row r="5" spans="1:9" x14ac:dyDescent="0.25">
      <c r="A5">
        <v>12</v>
      </c>
      <c r="B5" t="s">
        <v>13</v>
      </c>
      <c r="C5" s="4" t="s">
        <v>14</v>
      </c>
      <c r="D5" t="s">
        <v>9</v>
      </c>
      <c r="E5">
        <v>8</v>
      </c>
      <c r="F5">
        <v>44055</v>
      </c>
      <c r="G5" s="3">
        <v>352440</v>
      </c>
      <c r="H5" s="3" t="s">
        <v>10</v>
      </c>
      <c r="I5" s="7" t="s">
        <v>23</v>
      </c>
    </row>
    <row r="6" spans="1:9" x14ac:dyDescent="0.25">
      <c r="A6">
        <v>12</v>
      </c>
      <c r="B6" t="s">
        <v>7</v>
      </c>
      <c r="C6" s="4" t="s">
        <v>15</v>
      </c>
      <c r="D6" t="s">
        <v>9</v>
      </c>
      <c r="E6">
        <v>30</v>
      </c>
      <c r="F6">
        <v>421</v>
      </c>
      <c r="G6" s="3">
        <v>12630</v>
      </c>
      <c r="H6" s="3" t="s">
        <v>10</v>
      </c>
      <c r="I6" s="7" t="s">
        <v>23</v>
      </c>
    </row>
    <row r="7" spans="1:9" x14ac:dyDescent="0.25">
      <c r="A7">
        <v>13</v>
      </c>
      <c r="B7" t="s">
        <v>7</v>
      </c>
      <c r="C7" s="4" t="s">
        <v>16</v>
      </c>
      <c r="D7" t="s">
        <v>9</v>
      </c>
      <c r="E7">
        <v>50</v>
      </c>
      <c r="F7">
        <v>320</v>
      </c>
      <c r="G7" s="3">
        <v>16000</v>
      </c>
      <c r="H7" s="3" t="s">
        <v>10</v>
      </c>
      <c r="I7" s="7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5A1F-B78D-41E7-B35A-2089094E8F2E}">
  <sheetPr codeName="Sheet1"/>
  <dimension ref="A1:F6"/>
  <sheetViews>
    <sheetView tabSelected="1" workbookViewId="0">
      <selection activeCell="C2" sqref="C2"/>
    </sheetView>
  </sheetViews>
  <sheetFormatPr defaultRowHeight="15" x14ac:dyDescent="0.25"/>
  <cols>
    <col min="1" max="1" width="13.7109375" bestFit="1" customWidth="1"/>
    <col min="2" max="2" width="14.140625" style="4" bestFit="1" customWidth="1"/>
    <col min="3" max="3" width="9" bestFit="1" customWidth="1"/>
    <col min="4" max="4" width="4.7109375" bestFit="1" customWidth="1"/>
    <col min="5" max="5" width="15.42578125" bestFit="1" customWidth="1"/>
    <col min="6" max="6" width="15.5703125" style="3" bestFit="1" customWidth="1"/>
  </cols>
  <sheetData>
    <row r="1" spans="1:6" x14ac:dyDescent="0.25">
      <c r="A1" t="s">
        <v>0</v>
      </c>
      <c r="B1" s="4" t="s">
        <v>4</v>
      </c>
      <c r="C1" t="s">
        <v>9</v>
      </c>
      <c r="D1" t="s">
        <v>8</v>
      </c>
      <c r="E1" t="s">
        <v>24</v>
      </c>
      <c r="F1" s="3" t="s">
        <v>26</v>
      </c>
    </row>
    <row r="2" spans="1:6" x14ac:dyDescent="0.25">
      <c r="A2" t="s">
        <v>7</v>
      </c>
      <c r="B2" s="4" t="s">
        <v>15</v>
      </c>
      <c r="C2">
        <f>SUMIFS(SellPurchase!E:E,SellPurchase!C:C,AvailableStocks!B2,SellPurchase!D:D,"Purchase")</f>
        <v>30</v>
      </c>
      <c r="D2">
        <f>SUMIFS(SellPurchase!E:E,SellPurchase!C:C,AvailableStocks!B2,SellPurchase!D:D,"Sale")</f>
        <v>10</v>
      </c>
      <c r="E2">
        <f>C2-D2</f>
        <v>20</v>
      </c>
      <c r="F2" s="3">
        <f>VLOOKUP(B2,All_Products!C2:E6,3,FALSE)*E2</f>
        <v>10800</v>
      </c>
    </row>
    <row r="3" spans="1:6" x14ac:dyDescent="0.25">
      <c r="A3" t="s">
        <v>7</v>
      </c>
      <c r="B3" s="4" t="s">
        <v>18</v>
      </c>
      <c r="C3">
        <f>SUMIFS(SellPurchase!E:E,SellPurchase!C:C,AvailableStocks!B3,SellPurchase!D:D,"Purchase")</f>
        <v>0</v>
      </c>
      <c r="D3">
        <f>SUMIFS(SellPurchase!E:E,SellPurchase!C:C,AvailableStocks!B3,SellPurchase!D:D,"Sale")</f>
        <v>0</v>
      </c>
      <c r="E3">
        <f t="shared" ref="E3:E6" si="0">C3-D3</f>
        <v>0</v>
      </c>
      <c r="F3" s="3">
        <f>VLOOKUP(B3,All_Products!C3:E7,3,FALSE)*E3</f>
        <v>0</v>
      </c>
    </row>
    <row r="4" spans="1:6" x14ac:dyDescent="0.25">
      <c r="A4" t="s">
        <v>13</v>
      </c>
      <c r="B4" s="4" t="s">
        <v>14</v>
      </c>
      <c r="C4">
        <f>SUMIFS(SellPurchase!E:E,SellPurchase!C:C,AvailableStocks!B4,SellPurchase!D:D,"Purchase")</f>
        <v>23</v>
      </c>
      <c r="D4">
        <f>SUMIFS(SellPurchase!E:E,SellPurchase!C:C,AvailableStocks!B4,SellPurchase!D:D,"Sale")</f>
        <v>15</v>
      </c>
      <c r="E4">
        <f t="shared" si="0"/>
        <v>8</v>
      </c>
      <c r="F4" s="3">
        <f>VLOOKUP(B4,All_Products!C4:E8,3,FALSE)*E4</f>
        <v>408000</v>
      </c>
    </row>
    <row r="5" spans="1:6" x14ac:dyDescent="0.25">
      <c r="A5" t="s">
        <v>7</v>
      </c>
      <c r="B5" s="4" t="s">
        <v>16</v>
      </c>
      <c r="C5">
        <f>SUMIFS(SellPurchase!E:E,SellPurchase!C:C,AvailableStocks!B5,SellPurchase!D:D,"Purchase")</f>
        <v>50</v>
      </c>
      <c r="D5">
        <f>SUMIFS(SellPurchase!E:E,SellPurchase!C:C,AvailableStocks!B5,SellPurchase!D:D,"Sale")</f>
        <v>17</v>
      </c>
      <c r="E5">
        <f t="shared" si="0"/>
        <v>33</v>
      </c>
      <c r="F5" s="3">
        <f>VLOOKUP(B5,All_Products!C5:E9,3,FALSE)*E5</f>
        <v>13200</v>
      </c>
    </row>
    <row r="6" spans="1:6" x14ac:dyDescent="0.25">
      <c r="A6" t="s">
        <v>7</v>
      </c>
      <c r="B6" s="4" t="s">
        <v>17</v>
      </c>
      <c r="C6">
        <f>SUMIFS(SellPurchase!E:E,SellPurchase!C:C,AvailableStocks!B6,SellPurchase!D:D,"Purchase")</f>
        <v>10</v>
      </c>
      <c r="D6">
        <f>SUMIFS(SellPurchase!E:E,SellPurchase!C:C,AvailableStocks!B6,SellPurchase!D:D,"Sale")</f>
        <v>0</v>
      </c>
      <c r="E6">
        <f t="shared" si="0"/>
        <v>10</v>
      </c>
      <c r="F6" s="3">
        <f>VLOOKUP(B6,All_Products!C6:E10,3,FALSE)*E6</f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D431-C0A7-42D9-9155-44C8BA656462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All_Products</vt:lpstr>
      <vt:lpstr>SellPurchase</vt:lpstr>
      <vt:lpstr>SellPurchase_Display</vt:lpstr>
      <vt:lpstr>AvailableStocks</vt:lpstr>
      <vt:lpstr>AvailableStocks_Display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Shafekul Abid</dc:creator>
  <cp:lastModifiedBy>Md. Shafekul Abid</cp:lastModifiedBy>
  <dcterms:created xsi:type="dcterms:W3CDTF">2021-06-12T16:28:35Z</dcterms:created>
  <dcterms:modified xsi:type="dcterms:W3CDTF">2021-06-16T07:53:41Z</dcterms:modified>
</cp:coreProperties>
</file>